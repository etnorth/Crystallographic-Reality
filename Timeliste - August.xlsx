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115CE4AA-D1B0-4FEE-B561-764C97ACD4E3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<sst xmlns="http://schemas.openxmlformats.org/spreadsheetml/2006/main" count="19" uniqueCount="19">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</sst>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8" zoomScaleNormal="100" workbookViewId="0">
      <selection activeCell="C33" sqref="C33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3"/>
    </row>
    <row r="3" spans="1:6" ht="18.75" x14ac:dyDescent="0.3">
      <c r="A3" s="1"/>
      <c r="B3" s="1"/>
      <c r="C3" s="1"/>
      <c r="D3" s="1"/>
      <c r="E3" s="1"/>
      <c r="F3" s="23"/>
    </row>
    <row r="4" spans="1:6" ht="18.75" x14ac:dyDescent="0.3">
      <c r="A4" s="1"/>
      <c r="B4" s="1"/>
      <c r="C4" s="1"/>
      <c r="D4" s="1"/>
      <c r="E4" s="22" t="s">
        <v>11</v>
      </c>
      <c r="F4" s="25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18</v>
      </c>
      <c r="C6" s="34"/>
      <c r="D6" s="34"/>
      <c r="E6" s="34"/>
      <c r="F6" s="35"/>
    </row>
    <row r="7" spans="1:6" ht="18.75" x14ac:dyDescent="0.3">
      <c r="A7" s="3" t="s">
        <v>15</v>
      </c>
      <c r="B7" s="26"/>
      <c r="C7" s="1"/>
      <c r="D7" s="1"/>
      <c r="E7" s="1"/>
      <c r="F7" s="23"/>
    </row>
    <row r="8" spans="1:6" ht="18.75" x14ac:dyDescent="0.3">
      <c r="A8" s="3" t="s">
        <v>14</v>
      </c>
      <c r="B8" s="26"/>
      <c r="C8" s="1"/>
      <c r="D8" s="1"/>
      <c r="E8" s="1"/>
      <c r="F8" s="23"/>
    </row>
    <row r="9" spans="1:6" ht="18.75" x14ac:dyDescent="0.3">
      <c r="A9" s="3" t="s">
        <v>13</v>
      </c>
      <c r="B9" s="26"/>
      <c r="C9" s="1"/>
      <c r="D9" s="1"/>
      <c r="E9" s="1"/>
      <c r="F9" s="23"/>
    </row>
    <row r="10" spans="1:6" ht="18.75" x14ac:dyDescent="0.3">
      <c r="A10" s="1"/>
      <c r="B10" s="1"/>
      <c r="C10" s="1"/>
      <c r="D10" s="1"/>
      <c r="E10" s="1"/>
      <c r="F10" s="24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0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>
        <v>44431</v>
      </c>
      <c r="B27" s="6">
        <v>0.52083333333333337</v>
      </c>
      <c r="C27" s="6">
        <v>0.72916666666666663</v>
      </c>
      <c r="D27" s="7">
        <f t="shared" si="0"/>
        <v>0.20833333333333326</v>
      </c>
      <c r="E27" s="8">
        <f t="shared" si="1"/>
        <v>4.9999999999999982</v>
      </c>
      <c r="F27" s="9"/>
    </row>
    <row r="28" spans="1:6" ht="18.75" x14ac:dyDescent="0.3">
      <c r="A28" s="5">
        <v>44432</v>
      </c>
      <c r="B28" s="6">
        <v>0.44791666666666669</v>
      </c>
      <c r="C28" s="6">
        <v>0.5625</v>
      </c>
      <c r="D28" s="7">
        <f t="shared" si="0"/>
        <v>0.11458333333333331</v>
      </c>
      <c r="E28" s="8">
        <f t="shared" si="1"/>
        <v>2.7499999999999996</v>
      </c>
      <c r="F28" s="9"/>
    </row>
    <row r="29" spans="1:6" ht="18.75" x14ac:dyDescent="0.3">
      <c r="A29" s="5">
        <v>44432</v>
      </c>
      <c r="B29" s="6">
        <v>0.6875</v>
      </c>
      <c r="C29" s="6">
        <v>0.70833333333333337</v>
      </c>
      <c r="D29" s="7">
        <f t="shared" si="0"/>
        <v>2.083333333333337E-2</v>
      </c>
      <c r="E29" s="8">
        <f t="shared" si="1"/>
        <v>0.50000000000000089</v>
      </c>
      <c r="F29" s="9"/>
    </row>
    <row r="30" spans="1:6" ht="18.75" x14ac:dyDescent="0.3">
      <c r="A30" s="5">
        <v>44433</v>
      </c>
      <c r="B30" s="6">
        <v>0.52083333333333337</v>
      </c>
      <c r="C30" s="6">
        <v>0.59375</v>
      </c>
      <c r="D30" s="7">
        <f t="shared" ref="D30:D32" si="2">IF(OR(ISBLANK($B30),ISBLANK($C30))," ",$C30-$B30)</f>
        <v>7.291666666666663E-2</v>
      </c>
      <c r="E30" s="8">
        <f t="shared" ref="E30:E32" si="3">IF(OR(ISBLANK($B30),ISBLANK($C30))," ",($C30-$B30)*24)</f>
        <v>1.7499999999999991</v>
      </c>
      <c r="F30" s="9"/>
    </row>
    <row r="31" spans="1:6" ht="18.75" x14ac:dyDescent="0.3">
      <c r="A31" s="5">
        <v>44433</v>
      </c>
      <c r="B31" s="6">
        <v>0.96527777777777779</v>
      </c>
      <c r="C31" s="6">
        <v>0.98611111111111116</v>
      </c>
      <c r="D31" s="7">
        <f t="shared" si="2"/>
        <v>2.083333333333337E-2</v>
      </c>
      <c r="E31" s="8">
        <f t="shared" si="3"/>
        <v>0.50000000000000089</v>
      </c>
      <c r="F31" s="9"/>
    </row>
    <row r="32" spans="1:6" ht="19.5" thickBot="1" x14ac:dyDescent="0.35">
      <c r="A32" s="5">
        <v>44434</v>
      </c>
      <c r="B32" s="6">
        <v>0</v>
      </c>
      <c r="C32" s="6">
        <v>3.125E-2</v>
      </c>
      <c r="D32" s="7">
        <f t="shared" si="2"/>
        <v>3.125E-2</v>
      </c>
      <c r="E32" s="10">
        <f t="shared" si="3"/>
        <v>0.75</v>
      </c>
      <c r="F32" s="11"/>
    </row>
    <row r="33" spans="1:8" ht="18.75" x14ac:dyDescent="0.3">
      <c r="A33" s="12"/>
      <c r="B33" s="13"/>
      <c r="C33" s="14"/>
      <c r="D33" s="15" t="s">
        <v>8</v>
      </c>
      <c r="E33" s="36" t="s">
        <v>16</v>
      </c>
      <c r="F33" s="37"/>
      <c r="H33" s="29"/>
    </row>
    <row r="34" spans="1:8" ht="18.75" x14ac:dyDescent="0.3">
      <c r="A34" s="16"/>
      <c r="B34" s="14"/>
      <c r="C34" s="3" t="s">
        <v>9</v>
      </c>
      <c r="D34" s="17">
        <f>SUM(D12:D32)</f>
        <v>2.34375</v>
      </c>
      <c r="E34" s="38"/>
      <c r="F34" s="39"/>
      <c r="H34" s="28"/>
    </row>
    <row r="35" spans="1:8" ht="19.5" thickBot="1" x14ac:dyDescent="0.35">
      <c r="A35" s="18"/>
      <c r="B35" s="19"/>
      <c r="C35" s="20" t="s">
        <v>10</v>
      </c>
      <c r="D35" s="21">
        <f>SUM(E12:E32)</f>
        <v>56.25</v>
      </c>
      <c r="E35" s="40"/>
      <c r="F35" s="41"/>
      <c r="H35" s="27">
        <f>55-D35</f>
        <v>-1.25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2021-08-25T22:44:47Z</dcterms:modified>
</cp:coreProperties>
</file>